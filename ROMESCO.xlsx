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ss evoo" sheetId="1" r:id="rId4"/>
    <sheet state="visible" name="Sheet1" sheetId="2" r:id="rId5"/>
    <sheet state="visible" name="SPANISH" sheetId="3" r:id="rId6"/>
  </sheets>
  <definedNames/>
  <calcPr/>
</workbook>
</file>

<file path=xl/sharedStrings.xml><?xml version="1.0" encoding="utf-8"?>
<sst xmlns="http://schemas.openxmlformats.org/spreadsheetml/2006/main" count="105" uniqueCount="38">
  <si>
    <t>SUNFLOWER SEED ROMESCO 2026</t>
  </si>
  <si>
    <t>Edited:</t>
  </si>
  <si>
    <t>Yields:</t>
  </si>
  <si>
    <t>QTS</t>
  </si>
  <si>
    <t>INGREDIENTS:</t>
  </si>
  <si>
    <t>grams</t>
  </si>
  <si>
    <t>SUNFLOWER SEEDS, TOASTED GOLDEN</t>
  </si>
  <si>
    <t>**IF YOU DON'T HAVE SUNFLOWER SEED, USE PUMPKIN SEED</t>
  </si>
  <si>
    <t>GARLIC, CONFIT IN OLIVE OIL</t>
  </si>
  <si>
    <t>PIQUILLO PEPPER</t>
  </si>
  <si>
    <t>ROASTED TOMATO</t>
  </si>
  <si>
    <t>SPANISH VIDUENA OLIVE OIL</t>
  </si>
  <si>
    <t>**IF YOU ARE USING PICUAL OLIVE OIL, IT MAY BE TOO BITTER. MUST TASTE AND ADJUST WITH 1 TEASPOON SUGAR, 1 TABLESPOON SHERRY VINEGAR</t>
  </si>
  <si>
    <t>teaspoon</t>
  </si>
  <si>
    <t>SEA SALT</t>
  </si>
  <si>
    <t>ORGANIC CANE SUGAR</t>
  </si>
  <si>
    <t>TABLESPOON</t>
  </si>
  <si>
    <t>SHERRY VINEGAR</t>
  </si>
  <si>
    <t>METHOD:</t>
  </si>
  <si>
    <t>PREHEAT OVEN TO 350F.</t>
  </si>
  <si>
    <t>ROAST TOMATO AND PIQUILLO PEPPER (DRIZZLE WITH SOME OLIVE OIL) UNTIL GOLDEN, 10-15 MINUTES</t>
  </si>
  <si>
    <t>IN A FOOD PROCESSOR (NOT VITAMIX), BLEND CHILLED TOASTED SUNFLOWER SEEDS, GARLIC CONFIT, PEPPER, TOMATO, OLIVE OIL, SEA SALT AND SHERRY VINEGAR UNTIL CHUNKY.</t>
  </si>
  <si>
    <t>TASTE FOR SEASONING. MAY NEED TO ADJUST WITH MORE VINEGAR.</t>
  </si>
  <si>
    <t>LABEL, DATE, REFRIGERATE.</t>
  </si>
  <si>
    <t>3 JARS</t>
  </si>
  <si>
    <t>12 JARS</t>
  </si>
  <si>
    <t>18 JARS</t>
  </si>
  <si>
    <t>24 JARS</t>
  </si>
  <si>
    <t>QUART</t>
  </si>
  <si>
    <t>QUARTS</t>
  </si>
  <si>
    <t xml:space="preserve">SUNFLOWER SEED ROMESCO </t>
  </si>
  <si>
    <t>ROAST TOMATO AND PIQUILLO PEPPER (DRIZZLE WITH SOME OLIVE OIL) UNTIL GOLDEN.</t>
  </si>
  <si>
    <t>TASTE FOR SEASONING.</t>
  </si>
  <si>
    <t>PRECALENTAR HORNO A 350F</t>
  </si>
  <si>
    <t>ROSTIZAR TOMATE Y PIQUILLO CON POCO DE ACEIETE OLIVA PARA DORAR, 3-5 MIN</t>
  </si>
  <si>
    <t>EN ROBOT COUPE, MEZCLAR TODO Y TRITURAR PERO QUE SE QUEDE CON POCA TEXTURA. NO USAS VITAMIX PORQUE NO SE INCORPORE TODO BIEN</t>
  </si>
  <si>
    <t>PROBAR PARA SAL</t>
  </si>
  <si>
    <t>LABEL, FECHA, REFRIGERAR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</si>
</sst>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6">
    <font>
      <sz val="10.0"/>
      <color rgb="FF000000"/>
      <name val="Arial"/>
    </font>
    <font>
      <b/>
      <sz val="24.0"/>
      <color rgb="FF000000"/>
      <name val="Calibri"/>
    </font>
    <font>
      <b/>
      <sz val="18.0"/>
      <color rgb="FF000000"/>
      <name val="Calibri"/>
    </font>
    <font>
      <sz val="12.0"/>
      <color rgb="FF000000"/>
      <name val="Calibri"/>
    </font>
    <font>
      <b/>
      <sz val="12.0"/>
      <color rgb="FF000000"/>
      <name val="Calibri"/>
    </font>
    <font/>
  </fonts>
  <fills count="2">
    <fill>
      <patternFill patternType="none"/>
    </fill>
    <fill>
      <patternFill patternType="lightGray"/>
    </fill>
  </fills>
  <borders count="8">
    <border/>
    <border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3" numFmtId="10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1"/>
    </xf>
    <xf borderId="0" fillId="0" fontId="4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1"/>
    </xf>
    <xf borderId="1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center" readingOrder="0"/>
    </xf>
    <xf borderId="2" fillId="0" fontId="4" numFmtId="0" xfId="0" applyAlignment="1" applyBorder="1" applyFont="1">
      <alignment horizontal="center" readingOrder="0" shrinkToFit="0" vertical="bottom" wrapText="0"/>
    </xf>
    <xf borderId="3" fillId="0" fontId="4" numFmtId="0" xfId="0" applyAlignment="1" applyBorder="1" applyFont="1">
      <alignment horizontal="center" readingOrder="0" shrinkToFit="0" vertical="bottom" wrapText="0"/>
    </xf>
    <xf borderId="4" fillId="0" fontId="4" numFmtId="0" xfId="0" applyAlignment="1" applyBorder="1" applyFont="1">
      <alignment horizontal="center" readingOrder="0" shrinkToFit="0" vertical="bottom" wrapText="0"/>
    </xf>
    <xf borderId="5" fillId="0" fontId="4" numFmtId="0" xfId="0" applyAlignment="1" applyBorder="1" applyFont="1">
      <alignment horizontal="center" readingOrder="0" shrinkToFit="0" vertical="bottom" wrapText="0"/>
    </xf>
    <xf borderId="6" fillId="0" fontId="3" numFmtId="0" xfId="0" applyAlignment="1" applyBorder="1" applyFont="1">
      <alignment shrinkToFit="0" vertical="bottom" wrapText="0"/>
    </xf>
    <xf borderId="7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6" fillId="0" fontId="3" numFmtId="0" xfId="0" applyAlignment="1" applyBorder="1" applyFont="1">
      <alignment horizontal="center" readingOrder="0" shrinkToFit="0" vertical="bottom" wrapText="0"/>
    </xf>
    <xf borderId="7" fillId="0" fontId="3" numFmtId="0" xfId="0" applyAlignment="1" applyBorder="1" applyFont="1">
      <alignment horizontal="center" readingOrder="0" shrinkToFit="0" vertical="bottom" wrapText="0"/>
    </xf>
    <xf borderId="4" fillId="0" fontId="3" numFmtId="0" xfId="0" applyAlignment="1" applyBorder="1" applyFont="1">
      <alignment horizontal="center" readingOrder="0" shrinkToFit="0" vertical="bottom" wrapText="0"/>
    </xf>
    <xf borderId="5" fillId="0" fontId="3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44</xdr:row>
      <xdr:rowOff>19050</xdr:rowOff>
    </xdr:from>
    <xdr:ext cx="1552575" cy="7239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43</xdr:row>
      <xdr:rowOff>19050</xdr:rowOff>
    </xdr:from>
    <xdr:ext cx="1552575" cy="7239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43</xdr:row>
      <xdr:rowOff>19050</xdr:rowOff>
    </xdr:from>
    <xdr:ext cx="1552575" cy="7239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2"/>
      <c r="D1" s="2"/>
      <c r="E1" s="3"/>
      <c r="F1" s="3"/>
      <c r="G1" s="3"/>
      <c r="H1" s="4" t="s">
        <v>1</v>
      </c>
      <c r="I1" s="5">
        <v>43123.0</v>
      </c>
    </row>
    <row r="2">
      <c r="A2" s="6"/>
      <c r="B2" s="6" t="s">
        <v>2</v>
      </c>
      <c r="C2" s="6">
        <v>1.0</v>
      </c>
      <c r="D2" s="6" t="s">
        <v>3</v>
      </c>
      <c r="E2" s="3"/>
      <c r="F2" s="3"/>
      <c r="G2" s="3"/>
      <c r="H2" s="3"/>
      <c r="I2" s="3"/>
    </row>
    <row r="3">
      <c r="A3" s="3"/>
      <c r="B3" s="3"/>
      <c r="C3" s="3"/>
      <c r="D3" s="3"/>
      <c r="E3" s="3"/>
      <c r="F3" s="3"/>
      <c r="G3" s="3"/>
      <c r="H3" s="3"/>
      <c r="I3" s="3"/>
    </row>
    <row r="4">
      <c r="A4" s="3"/>
      <c r="B4" s="3"/>
      <c r="C4" s="3"/>
      <c r="D4" s="3"/>
      <c r="E4" s="3"/>
      <c r="F4" s="3"/>
      <c r="G4" s="3"/>
      <c r="H4" s="3"/>
      <c r="I4" s="3"/>
    </row>
    <row r="5">
      <c r="A5" s="7"/>
      <c r="B5" s="7" t="s">
        <v>4</v>
      </c>
      <c r="C5" s="6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8"/>
      <c r="B7" s="9">
        <v>160.0</v>
      </c>
      <c r="C7" s="10" t="s">
        <v>5</v>
      </c>
      <c r="D7" s="11" t="s">
        <v>6</v>
      </c>
      <c r="E7" s="6"/>
      <c r="F7" s="6"/>
      <c r="G7" s="6" t="s">
        <v>7</v>
      </c>
      <c r="H7" s="3"/>
      <c r="I7" s="3"/>
    </row>
    <row r="8">
      <c r="A8" s="8"/>
      <c r="B8" s="12">
        <v>20.0</v>
      </c>
      <c r="C8" s="10" t="s">
        <v>5</v>
      </c>
      <c r="D8" s="13" t="s">
        <v>8</v>
      </c>
      <c r="E8" s="6"/>
      <c r="F8" s="6"/>
      <c r="G8" s="3"/>
      <c r="H8" s="3"/>
      <c r="I8" s="3"/>
    </row>
    <row r="9">
      <c r="A9" s="8"/>
      <c r="B9" s="9">
        <v>200.0</v>
      </c>
      <c r="C9" s="10" t="s">
        <v>5</v>
      </c>
      <c r="D9" s="14" t="s">
        <v>9</v>
      </c>
      <c r="E9" s="6"/>
      <c r="F9" s="6"/>
      <c r="G9" s="3"/>
      <c r="H9" s="3"/>
      <c r="I9" s="3"/>
    </row>
    <row r="10">
      <c r="A10" s="8"/>
      <c r="B10" s="9">
        <v>200.0</v>
      </c>
      <c r="C10" s="10" t="s">
        <v>5</v>
      </c>
      <c r="D10" s="14" t="s">
        <v>10</v>
      </c>
      <c r="E10" s="6"/>
      <c r="F10" s="6"/>
      <c r="G10" s="3"/>
      <c r="H10" s="3"/>
      <c r="I10" s="3"/>
    </row>
    <row r="11">
      <c r="A11" s="8"/>
      <c r="B11" s="9">
        <v>200.0</v>
      </c>
      <c r="C11" s="10" t="s">
        <v>5</v>
      </c>
      <c r="D11" s="14" t="s">
        <v>11</v>
      </c>
      <c r="E11" s="6"/>
      <c r="F11" s="3"/>
      <c r="G11" s="15" t="s">
        <v>12</v>
      </c>
    </row>
    <row r="12">
      <c r="A12" s="4"/>
      <c r="B12" s="4">
        <v>1.0</v>
      </c>
      <c r="C12" s="10" t="s">
        <v>13</v>
      </c>
      <c r="D12" s="6" t="s">
        <v>14</v>
      </c>
      <c r="E12" s="6"/>
      <c r="F12" s="3"/>
    </row>
    <row r="13">
      <c r="A13" s="4"/>
      <c r="B13" s="4">
        <v>1.0</v>
      </c>
      <c r="C13" s="10" t="s">
        <v>13</v>
      </c>
      <c r="D13" s="6" t="s">
        <v>15</v>
      </c>
      <c r="E13" s="3"/>
      <c r="F13" s="3"/>
      <c r="G13" s="3"/>
      <c r="H13" s="3"/>
      <c r="I13" s="3"/>
    </row>
    <row r="14">
      <c r="A14" s="4"/>
      <c r="B14" s="4">
        <v>2.0</v>
      </c>
      <c r="C14" s="10" t="s">
        <v>16</v>
      </c>
      <c r="D14" s="6" t="s">
        <v>17</v>
      </c>
      <c r="E14" s="3"/>
      <c r="F14" s="3"/>
      <c r="G14" s="3"/>
      <c r="H14" s="3"/>
      <c r="I14" s="3"/>
    </row>
    <row r="15">
      <c r="A15" s="3"/>
      <c r="B15" s="3"/>
      <c r="C15" s="3"/>
      <c r="D15" s="3"/>
      <c r="E15" s="3"/>
      <c r="F15" s="3"/>
      <c r="G15" s="3"/>
      <c r="H15" s="3"/>
      <c r="I15" s="3"/>
    </row>
    <row r="16">
      <c r="A16" s="7"/>
      <c r="B16" s="7" t="s">
        <v>18</v>
      </c>
      <c r="C16" s="3"/>
      <c r="D16" s="3"/>
      <c r="E16" s="3"/>
      <c r="F16" s="3"/>
      <c r="G16" s="3"/>
      <c r="H16" s="3"/>
      <c r="I16" s="3"/>
    </row>
    <row r="17">
      <c r="A17" s="16"/>
      <c r="B17" s="16">
        <v>1.0</v>
      </c>
      <c r="C17" s="13" t="s">
        <v>19</v>
      </c>
      <c r="D17" s="6"/>
      <c r="E17" s="6"/>
      <c r="F17" s="3"/>
      <c r="G17" s="3"/>
      <c r="H17" s="3"/>
      <c r="I17" s="3"/>
    </row>
    <row r="18">
      <c r="A18" s="7"/>
      <c r="B18" s="7">
        <v>2.0</v>
      </c>
      <c r="C18" s="13" t="s">
        <v>20</v>
      </c>
      <c r="D18" s="6"/>
      <c r="E18" s="3"/>
      <c r="F18" s="3"/>
      <c r="G18" s="3"/>
      <c r="H18" s="3"/>
      <c r="I18" s="3"/>
    </row>
    <row r="19">
      <c r="A19" s="16"/>
      <c r="B19" s="16">
        <v>3.0</v>
      </c>
      <c r="C19" s="17" t="s">
        <v>21</v>
      </c>
    </row>
    <row r="20">
      <c r="A20" s="16"/>
      <c r="B20" s="16">
        <v>4.0</v>
      </c>
      <c r="C20" s="13" t="s">
        <v>22</v>
      </c>
      <c r="H20" s="3"/>
      <c r="I20" s="3"/>
    </row>
    <row r="21">
      <c r="A21" s="7"/>
      <c r="B21" s="7">
        <v>5.0</v>
      </c>
      <c r="C21" s="13" t="s">
        <v>23</v>
      </c>
      <c r="H21" s="3"/>
      <c r="I21" s="3"/>
    </row>
    <row r="22">
      <c r="A22" s="3"/>
      <c r="B22" s="3"/>
      <c r="C22" s="3"/>
      <c r="D22" s="3"/>
      <c r="E22" s="3"/>
      <c r="F22" s="3"/>
      <c r="G22" s="3"/>
      <c r="H22" s="3"/>
      <c r="I22" s="3"/>
    </row>
    <row r="23">
      <c r="A23" s="3"/>
      <c r="B23" s="18"/>
      <c r="C23" s="18"/>
      <c r="D23" s="18"/>
      <c r="E23" s="18"/>
      <c r="F23" s="18"/>
      <c r="G23" s="18"/>
      <c r="H23" s="18"/>
      <c r="I23" s="18"/>
    </row>
    <row r="24">
      <c r="A24" s="3"/>
      <c r="B24" s="3"/>
      <c r="C24" s="3"/>
      <c r="D24" s="3"/>
      <c r="E24" s="3"/>
      <c r="F24" s="3"/>
      <c r="G24" s="3"/>
      <c r="H24" s="3"/>
      <c r="I24" s="3"/>
    </row>
    <row r="25">
      <c r="A25" s="3"/>
      <c r="B25" s="3"/>
      <c r="C25" s="3"/>
      <c r="D25" s="3"/>
      <c r="E25" s="3"/>
      <c r="F25" s="3"/>
      <c r="G25" s="3"/>
      <c r="H25" s="3"/>
      <c r="I25" s="3"/>
    </row>
    <row r="26">
      <c r="A26" s="3"/>
      <c r="B26" s="3"/>
      <c r="C26" s="3"/>
      <c r="D26" s="3"/>
      <c r="E26" s="3"/>
      <c r="F26" s="3"/>
      <c r="G26" s="3"/>
      <c r="H26" s="3"/>
      <c r="I26" s="3"/>
    </row>
    <row r="27">
      <c r="A27" s="3"/>
      <c r="B27" s="3"/>
      <c r="C27" s="3"/>
      <c r="E27" s="19" t="s">
        <v>24</v>
      </c>
      <c r="F27" s="19" t="s">
        <v>25</v>
      </c>
      <c r="G27" s="19" t="s">
        <v>26</v>
      </c>
      <c r="H27" s="19" t="s">
        <v>27</v>
      </c>
      <c r="I27" s="3"/>
    </row>
    <row r="28">
      <c r="A28" s="3"/>
      <c r="B28" s="3"/>
      <c r="C28" s="3"/>
      <c r="D28" s="3"/>
      <c r="E28" s="20">
        <v>1.0</v>
      </c>
      <c r="F28" s="21">
        <v>4.0</v>
      </c>
      <c r="G28" s="21">
        <v>6.0</v>
      </c>
      <c r="H28" s="21">
        <v>8.0</v>
      </c>
      <c r="I28" s="3"/>
    </row>
    <row r="29">
      <c r="A29" s="3"/>
      <c r="B29" s="3"/>
      <c r="C29" s="3"/>
      <c r="D29" s="3"/>
      <c r="E29" s="22" t="s">
        <v>28</v>
      </c>
      <c r="F29" s="23" t="s">
        <v>29</v>
      </c>
      <c r="G29" s="23" t="s">
        <v>29</v>
      </c>
      <c r="H29" s="23" t="s">
        <v>29</v>
      </c>
      <c r="I29" s="3"/>
    </row>
    <row r="30">
      <c r="A30" s="3"/>
      <c r="B30" s="3"/>
      <c r="C30" s="3"/>
      <c r="D30" s="3"/>
      <c r="E30" s="24"/>
      <c r="F30" s="25"/>
      <c r="G30" s="25"/>
      <c r="H30" s="25"/>
      <c r="I30" s="3"/>
    </row>
    <row r="31">
      <c r="A31" s="3"/>
      <c r="B31" s="3"/>
      <c r="C31" s="4" t="str">
        <f t="shared" ref="C31:C38" si="1">D7</f>
        <v>SUNFLOWER SEEDS, TOASTED GOLDEN</v>
      </c>
      <c r="D31" s="26" t="str">
        <f t="shared" ref="D31:D38" si="2">C7</f>
        <v>grams</v>
      </c>
      <c r="E31" s="27">
        <f t="shared" ref="E31:E38" si="3">B7/$C$2</f>
        <v>160</v>
      </c>
      <c r="F31" s="28">
        <f t="shared" ref="F31:F38" si="4">E31*$F$28</f>
        <v>640</v>
      </c>
      <c r="G31" s="28">
        <f t="shared" ref="G31:G38" si="5">E31*$G$28</f>
        <v>960</v>
      </c>
      <c r="H31" s="28">
        <f t="shared" ref="H31:H38" si="6">E31*$H$28</f>
        <v>1280</v>
      </c>
      <c r="I31" s="3"/>
    </row>
    <row r="32">
      <c r="A32" s="3"/>
      <c r="B32" s="3"/>
      <c r="C32" s="4" t="str">
        <f t="shared" si="1"/>
        <v>GARLIC, CONFIT IN OLIVE OIL</v>
      </c>
      <c r="D32" s="26" t="str">
        <f t="shared" si="2"/>
        <v>grams</v>
      </c>
      <c r="E32" s="27">
        <f t="shared" si="3"/>
        <v>20</v>
      </c>
      <c r="F32" s="28">
        <f t="shared" si="4"/>
        <v>80</v>
      </c>
      <c r="G32" s="28">
        <f t="shared" si="5"/>
        <v>120</v>
      </c>
      <c r="H32" s="28">
        <f t="shared" si="6"/>
        <v>160</v>
      </c>
      <c r="I32" s="3"/>
    </row>
    <row r="33">
      <c r="A33" s="3"/>
      <c r="B33" s="3"/>
      <c r="C33" s="4" t="str">
        <f t="shared" si="1"/>
        <v>PIQUILLO PEPPER</v>
      </c>
      <c r="D33" s="26" t="str">
        <f t="shared" si="2"/>
        <v>grams</v>
      </c>
      <c r="E33" s="27">
        <f t="shared" si="3"/>
        <v>200</v>
      </c>
      <c r="F33" s="28">
        <f t="shared" si="4"/>
        <v>800</v>
      </c>
      <c r="G33" s="28">
        <f t="shared" si="5"/>
        <v>1200</v>
      </c>
      <c r="H33" s="28">
        <f t="shared" si="6"/>
        <v>1600</v>
      </c>
      <c r="I33" s="3"/>
    </row>
    <row r="34">
      <c r="A34" s="3"/>
      <c r="B34" s="3"/>
      <c r="C34" s="4" t="str">
        <f t="shared" si="1"/>
        <v>ROASTED TOMATO</v>
      </c>
      <c r="D34" s="26" t="str">
        <f t="shared" si="2"/>
        <v>grams</v>
      </c>
      <c r="E34" s="27">
        <f t="shared" si="3"/>
        <v>200</v>
      </c>
      <c r="F34" s="28">
        <f t="shared" si="4"/>
        <v>800</v>
      </c>
      <c r="G34" s="28">
        <f t="shared" si="5"/>
        <v>1200</v>
      </c>
      <c r="H34" s="28">
        <f t="shared" si="6"/>
        <v>1600</v>
      </c>
      <c r="I34" s="3"/>
    </row>
    <row r="35">
      <c r="A35" s="3"/>
      <c r="B35" s="3"/>
      <c r="C35" s="4" t="str">
        <f t="shared" si="1"/>
        <v>SPANISH VIDUENA OLIVE OIL</v>
      </c>
      <c r="D35" s="26" t="str">
        <f t="shared" si="2"/>
        <v>grams</v>
      </c>
      <c r="E35" s="27">
        <f t="shared" si="3"/>
        <v>200</v>
      </c>
      <c r="F35" s="28">
        <f t="shared" si="4"/>
        <v>800</v>
      </c>
      <c r="G35" s="28">
        <f t="shared" si="5"/>
        <v>1200</v>
      </c>
      <c r="H35" s="28">
        <f t="shared" si="6"/>
        <v>1600</v>
      </c>
      <c r="I35" s="3"/>
    </row>
    <row r="36">
      <c r="A36" s="3"/>
      <c r="B36" s="3"/>
      <c r="C36" s="4" t="str">
        <f t="shared" si="1"/>
        <v>SEA SALT</v>
      </c>
      <c r="D36" s="26" t="str">
        <f t="shared" si="2"/>
        <v>teaspoon</v>
      </c>
      <c r="E36" s="27">
        <f t="shared" si="3"/>
        <v>1</v>
      </c>
      <c r="F36" s="28">
        <f t="shared" si="4"/>
        <v>4</v>
      </c>
      <c r="G36" s="28">
        <f t="shared" si="5"/>
        <v>6</v>
      </c>
      <c r="H36" s="28">
        <f t="shared" si="6"/>
        <v>8</v>
      </c>
      <c r="I36" s="3"/>
    </row>
    <row r="37">
      <c r="A37" s="3"/>
      <c r="B37" s="3"/>
      <c r="C37" s="4" t="str">
        <f t="shared" si="1"/>
        <v>ORGANIC CANE SUGAR</v>
      </c>
      <c r="D37" s="26" t="str">
        <f t="shared" si="2"/>
        <v>teaspoon</v>
      </c>
      <c r="E37" s="27">
        <f t="shared" si="3"/>
        <v>1</v>
      </c>
      <c r="F37" s="28">
        <f t="shared" si="4"/>
        <v>4</v>
      </c>
      <c r="G37" s="28">
        <f t="shared" si="5"/>
        <v>6</v>
      </c>
      <c r="H37" s="28">
        <f t="shared" si="6"/>
        <v>8</v>
      </c>
      <c r="I37" s="3"/>
    </row>
    <row r="38">
      <c r="A38" s="3"/>
      <c r="B38" s="3"/>
      <c r="C38" s="4" t="str">
        <f t="shared" si="1"/>
        <v>SHERRY VINEGAR</v>
      </c>
      <c r="D38" s="26" t="str">
        <f t="shared" si="2"/>
        <v>TABLESPOON</v>
      </c>
      <c r="E38" s="29">
        <f t="shared" si="3"/>
        <v>2</v>
      </c>
      <c r="F38" s="30">
        <f t="shared" si="4"/>
        <v>8</v>
      </c>
      <c r="G38" s="30">
        <f t="shared" si="5"/>
        <v>12</v>
      </c>
      <c r="H38" s="30">
        <f t="shared" si="6"/>
        <v>16</v>
      </c>
      <c r="I38" s="3"/>
    </row>
    <row r="39">
      <c r="A39" s="3"/>
      <c r="B39" s="3"/>
      <c r="C39" s="3"/>
      <c r="D39" s="3"/>
      <c r="E39" s="3"/>
      <c r="F39" s="3"/>
      <c r="G39" s="3"/>
      <c r="H39" s="3"/>
      <c r="I39" s="3"/>
    </row>
    <row r="40">
      <c r="A40" s="3"/>
      <c r="B40" s="3"/>
      <c r="C40" s="3"/>
      <c r="D40" s="3"/>
      <c r="E40" s="3"/>
      <c r="F40" s="3"/>
      <c r="G40" s="3"/>
      <c r="H40" s="3"/>
      <c r="I40" s="3"/>
    </row>
    <row r="41">
      <c r="A41" s="3"/>
      <c r="B41" s="3"/>
      <c r="C41" s="3"/>
      <c r="D41" s="3"/>
      <c r="E41" s="3"/>
      <c r="F41" s="3"/>
      <c r="G41" s="3"/>
      <c r="H41" s="3"/>
      <c r="I41" s="3"/>
    </row>
    <row r="42">
      <c r="A42" s="3"/>
      <c r="B42" s="3"/>
      <c r="C42" s="3"/>
      <c r="D42" s="3"/>
      <c r="E42" s="3"/>
      <c r="F42" s="3"/>
      <c r="G42" s="3"/>
      <c r="H42" s="3"/>
      <c r="I42" s="3"/>
    </row>
    <row r="43">
      <c r="A43" s="3"/>
      <c r="B43" s="3"/>
      <c r="C43" s="3"/>
      <c r="D43" s="3"/>
      <c r="E43" s="3"/>
      <c r="F43" s="3"/>
      <c r="G43" s="3"/>
      <c r="H43" s="3"/>
    </row>
    <row r="46">
      <c r="I46" s="31" t="str">
        <f>B1</f>
        <v>SUNFLOWER SEED ROMESCO 2026</v>
      </c>
    </row>
  </sheetData>
  <mergeCells count="2">
    <mergeCell ref="G11:K12"/>
    <mergeCell ref="C19:J19"/>
  </mergeCells>
  <printOptions horizontalCentered="1"/>
  <pageMargins bottom="0.0" footer="0.0" header="0.0" left="0.0" right="0.0" top="0.1"/>
  <pageSetup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B1" s="1" t="s">
        <v>30</v>
      </c>
      <c r="C1" s="2"/>
      <c r="D1" s="2"/>
      <c r="E1" s="3"/>
      <c r="F1" s="3"/>
      <c r="G1" s="3"/>
      <c r="H1" s="4" t="s">
        <v>1</v>
      </c>
      <c r="I1" s="5">
        <v>43123.0</v>
      </c>
    </row>
    <row r="2">
      <c r="A2" s="6"/>
      <c r="B2" s="6" t="s">
        <v>2</v>
      </c>
      <c r="C2" s="6">
        <v>1.0</v>
      </c>
      <c r="D2" s="6" t="s">
        <v>3</v>
      </c>
      <c r="E2" s="3"/>
      <c r="F2" s="3"/>
      <c r="G2" s="3"/>
      <c r="H2" s="3"/>
      <c r="I2" s="3"/>
    </row>
    <row r="3">
      <c r="A3" s="3"/>
      <c r="B3" s="3"/>
      <c r="C3" s="3"/>
      <c r="D3" s="3"/>
      <c r="E3" s="3"/>
      <c r="F3" s="3"/>
      <c r="G3" s="3"/>
      <c r="H3" s="3"/>
      <c r="I3" s="3"/>
    </row>
    <row r="4">
      <c r="A4" s="3"/>
      <c r="B4" s="3"/>
      <c r="C4" s="3"/>
      <c r="D4" s="3"/>
      <c r="E4" s="3"/>
      <c r="F4" s="3"/>
      <c r="G4" s="3"/>
      <c r="H4" s="3"/>
      <c r="I4" s="3"/>
    </row>
    <row r="5">
      <c r="A5" s="7"/>
      <c r="B5" s="7" t="s">
        <v>4</v>
      </c>
      <c r="C5" s="6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8"/>
      <c r="B7" s="12">
        <v>80.0</v>
      </c>
      <c r="C7" s="10" t="s">
        <v>5</v>
      </c>
      <c r="D7" s="11" t="s">
        <v>6</v>
      </c>
      <c r="E7" s="6"/>
      <c r="F7" s="6"/>
      <c r="G7" s="6" t="s">
        <v>7</v>
      </c>
      <c r="H7" s="3"/>
      <c r="I7" s="3"/>
    </row>
    <row r="8">
      <c r="A8" s="8"/>
      <c r="B8" s="12">
        <v>20.0</v>
      </c>
      <c r="C8" s="10" t="s">
        <v>5</v>
      </c>
      <c r="D8" s="13" t="s">
        <v>8</v>
      </c>
      <c r="E8" s="6"/>
      <c r="F8" s="6"/>
      <c r="G8" s="3"/>
      <c r="H8" s="3"/>
      <c r="I8" s="3"/>
    </row>
    <row r="9">
      <c r="A9" s="8"/>
      <c r="B9" s="9">
        <v>100.0</v>
      </c>
      <c r="C9" s="10" t="s">
        <v>5</v>
      </c>
      <c r="D9" s="14" t="s">
        <v>9</v>
      </c>
      <c r="E9" s="6"/>
      <c r="F9" s="6"/>
      <c r="G9" s="3"/>
      <c r="H9" s="3"/>
      <c r="I9" s="3"/>
    </row>
    <row r="10">
      <c r="A10" s="8"/>
      <c r="B10" s="9">
        <v>100.0</v>
      </c>
      <c r="C10" s="10" t="s">
        <v>5</v>
      </c>
      <c r="D10" s="14" t="s">
        <v>10</v>
      </c>
      <c r="E10" s="6"/>
      <c r="F10" s="6"/>
      <c r="G10" s="3"/>
      <c r="H10" s="3"/>
      <c r="I10" s="3"/>
    </row>
    <row r="11">
      <c r="A11" s="8"/>
      <c r="B11" s="12">
        <v>400.0</v>
      </c>
      <c r="C11" s="10" t="s">
        <v>5</v>
      </c>
      <c r="D11" s="14" t="s">
        <v>11</v>
      </c>
      <c r="E11" s="6"/>
      <c r="F11" s="3"/>
      <c r="G11" s="3"/>
      <c r="H11" s="3"/>
      <c r="I11" s="3"/>
    </row>
    <row r="12">
      <c r="A12" s="4"/>
      <c r="B12" s="4">
        <v>1.0</v>
      </c>
      <c r="C12" s="10" t="s">
        <v>13</v>
      </c>
      <c r="D12" s="6" t="s">
        <v>14</v>
      </c>
      <c r="E12" s="6"/>
      <c r="F12" s="3"/>
      <c r="G12" s="3"/>
      <c r="H12" s="3"/>
      <c r="I12" s="3"/>
    </row>
    <row r="13">
      <c r="A13" s="4"/>
      <c r="B13" s="4">
        <v>1.0</v>
      </c>
      <c r="C13" s="10" t="s">
        <v>13</v>
      </c>
      <c r="D13" s="6" t="s">
        <v>17</v>
      </c>
      <c r="E13" s="3"/>
      <c r="F13" s="3"/>
      <c r="G13" s="3"/>
      <c r="H13" s="3"/>
      <c r="I13" s="3"/>
    </row>
    <row r="14">
      <c r="A14" s="3"/>
      <c r="B14" s="3"/>
      <c r="C14" s="3"/>
      <c r="D14" s="3"/>
      <c r="E14" s="3"/>
      <c r="F14" s="3"/>
      <c r="G14" s="3"/>
      <c r="H14" s="3"/>
      <c r="I14" s="3"/>
    </row>
    <row r="15">
      <c r="A15" s="7"/>
      <c r="B15" s="7" t="s">
        <v>18</v>
      </c>
      <c r="C15" s="3"/>
      <c r="D15" s="3"/>
      <c r="E15" s="3"/>
      <c r="F15" s="3"/>
      <c r="G15" s="3"/>
      <c r="H15" s="3"/>
      <c r="I15" s="3"/>
    </row>
    <row r="16">
      <c r="A16" s="16"/>
      <c r="B16" s="16">
        <v>1.0</v>
      </c>
      <c r="C16" s="13" t="s">
        <v>19</v>
      </c>
      <c r="D16" s="6"/>
      <c r="E16" s="6"/>
      <c r="F16" s="3"/>
      <c r="G16" s="3"/>
      <c r="H16" s="3"/>
      <c r="I16" s="3"/>
    </row>
    <row r="17">
      <c r="A17" s="7"/>
      <c r="B17" s="7">
        <v>2.0</v>
      </c>
      <c r="C17" s="13" t="s">
        <v>31</v>
      </c>
      <c r="D17" s="6"/>
      <c r="E17" s="3"/>
      <c r="F17" s="3"/>
      <c r="G17" s="3"/>
      <c r="H17" s="3"/>
      <c r="I17" s="3"/>
    </row>
    <row r="18">
      <c r="A18" s="16"/>
      <c r="B18" s="16">
        <v>3.0</v>
      </c>
      <c r="C18" s="17" t="s">
        <v>21</v>
      </c>
    </row>
    <row r="19">
      <c r="A19" s="16"/>
      <c r="B19" s="16">
        <v>4.0</v>
      </c>
      <c r="C19" s="13" t="s">
        <v>32</v>
      </c>
      <c r="H19" s="3"/>
      <c r="I19" s="3"/>
    </row>
    <row r="20">
      <c r="A20" s="7"/>
      <c r="B20" s="7">
        <v>5.0</v>
      </c>
      <c r="C20" s="13" t="s">
        <v>23</v>
      </c>
      <c r="H20" s="3"/>
      <c r="I20" s="3"/>
    </row>
    <row r="21">
      <c r="A21" s="3"/>
      <c r="B21" s="3"/>
      <c r="C21" s="3"/>
      <c r="D21" s="3"/>
      <c r="E21" s="3"/>
      <c r="F21" s="3"/>
      <c r="G21" s="3"/>
      <c r="H21" s="3"/>
      <c r="I21" s="3"/>
    </row>
    <row r="22">
      <c r="A22" s="3"/>
      <c r="B22" s="18"/>
      <c r="C22" s="18"/>
      <c r="D22" s="18"/>
      <c r="E22" s="18"/>
      <c r="F22" s="18"/>
      <c r="G22" s="18"/>
      <c r="H22" s="18"/>
      <c r="I22" s="18"/>
    </row>
    <row r="23">
      <c r="A23" s="3"/>
      <c r="B23" s="3"/>
      <c r="C23" s="3"/>
      <c r="D23" s="3"/>
      <c r="E23" s="3"/>
      <c r="F23" s="3"/>
      <c r="G23" s="3"/>
      <c r="H23" s="3"/>
      <c r="I23" s="3"/>
    </row>
    <row r="24">
      <c r="A24" s="3"/>
      <c r="B24" s="3"/>
      <c r="C24" s="3"/>
      <c r="D24" s="3"/>
      <c r="E24" s="3"/>
      <c r="F24" s="3"/>
      <c r="G24" s="3"/>
      <c r="H24" s="3"/>
      <c r="I24" s="3"/>
    </row>
    <row r="25">
      <c r="A25" s="3"/>
      <c r="B25" s="3"/>
      <c r="C25" s="3"/>
      <c r="D25" s="3"/>
      <c r="E25" s="3"/>
      <c r="F25" s="3"/>
      <c r="G25" s="3"/>
      <c r="H25" s="3"/>
      <c r="I25" s="3"/>
    </row>
    <row r="26">
      <c r="A26" s="3"/>
      <c r="B26" s="3"/>
      <c r="C26" s="3"/>
      <c r="E26" s="19" t="s">
        <v>24</v>
      </c>
      <c r="F26" s="19" t="s">
        <v>25</v>
      </c>
      <c r="G26" s="19" t="s">
        <v>26</v>
      </c>
      <c r="H26" s="19" t="s">
        <v>27</v>
      </c>
      <c r="I26" s="3"/>
    </row>
    <row r="27">
      <c r="A27" s="3"/>
      <c r="B27" s="3"/>
      <c r="C27" s="3"/>
      <c r="D27" s="3"/>
      <c r="E27" s="20">
        <v>1.0</v>
      </c>
      <c r="F27" s="21">
        <v>4.0</v>
      </c>
      <c r="G27" s="21">
        <v>6.0</v>
      </c>
      <c r="H27" s="21">
        <v>8.0</v>
      </c>
      <c r="I27" s="3"/>
    </row>
    <row r="28">
      <c r="A28" s="3"/>
      <c r="B28" s="3"/>
      <c r="C28" s="3"/>
      <c r="D28" s="3"/>
      <c r="E28" s="22" t="s">
        <v>28</v>
      </c>
      <c r="F28" s="23" t="s">
        <v>29</v>
      </c>
      <c r="G28" s="23" t="s">
        <v>29</v>
      </c>
      <c r="H28" s="23" t="s">
        <v>29</v>
      </c>
      <c r="I28" s="3"/>
    </row>
    <row r="29">
      <c r="A29" s="3"/>
      <c r="B29" s="3"/>
      <c r="C29" s="3"/>
      <c r="D29" s="3"/>
      <c r="E29" s="24"/>
      <c r="F29" s="25"/>
      <c r="G29" s="25"/>
      <c r="H29" s="25"/>
      <c r="I29" s="3"/>
    </row>
    <row r="30">
      <c r="A30" s="3"/>
      <c r="B30" s="3"/>
      <c r="C30" s="4" t="str">
        <f t="shared" ref="C30:C36" si="1">D7</f>
        <v>SUNFLOWER SEEDS, TOASTED GOLDEN</v>
      </c>
      <c r="D30" s="26" t="str">
        <f t="shared" ref="D30:D36" si="2">C7</f>
        <v>grams</v>
      </c>
      <c r="E30" s="27">
        <f t="shared" ref="E30:E36" si="3">B7/$C$2</f>
        <v>80</v>
      </c>
      <c r="F30" s="28">
        <f t="shared" ref="F30:F36" si="4">E30*$F$27</f>
        <v>320</v>
      </c>
      <c r="G30" s="28">
        <f t="shared" ref="G30:G36" si="5">E30*$G$27</f>
        <v>480</v>
      </c>
      <c r="H30" s="28">
        <f t="shared" ref="H30:H36" si="6">E30*$H$27</f>
        <v>640</v>
      </c>
      <c r="I30" s="3"/>
    </row>
    <row r="31">
      <c r="A31" s="3"/>
      <c r="B31" s="3"/>
      <c r="C31" s="4" t="str">
        <f t="shared" si="1"/>
        <v>GARLIC, CONFIT IN OLIVE OIL</v>
      </c>
      <c r="D31" s="26" t="str">
        <f t="shared" si="2"/>
        <v>grams</v>
      </c>
      <c r="E31" s="27">
        <f t="shared" si="3"/>
        <v>20</v>
      </c>
      <c r="F31" s="28">
        <f t="shared" si="4"/>
        <v>80</v>
      </c>
      <c r="G31" s="28">
        <f t="shared" si="5"/>
        <v>120</v>
      </c>
      <c r="H31" s="28">
        <f t="shared" si="6"/>
        <v>160</v>
      </c>
      <c r="I31" s="3"/>
    </row>
    <row r="32">
      <c r="A32" s="3"/>
      <c r="B32" s="3"/>
      <c r="C32" s="4" t="str">
        <f t="shared" si="1"/>
        <v>PIQUILLO PEPPER</v>
      </c>
      <c r="D32" s="26" t="str">
        <f t="shared" si="2"/>
        <v>grams</v>
      </c>
      <c r="E32" s="27">
        <f t="shared" si="3"/>
        <v>100</v>
      </c>
      <c r="F32" s="28">
        <f t="shared" si="4"/>
        <v>400</v>
      </c>
      <c r="G32" s="28">
        <f t="shared" si="5"/>
        <v>600</v>
      </c>
      <c r="H32" s="28">
        <f t="shared" si="6"/>
        <v>800</v>
      </c>
      <c r="I32" s="3"/>
    </row>
    <row r="33">
      <c r="A33" s="3"/>
      <c r="B33" s="3"/>
      <c r="C33" s="4" t="str">
        <f t="shared" si="1"/>
        <v>ROASTED TOMATO</v>
      </c>
      <c r="D33" s="26" t="str">
        <f t="shared" si="2"/>
        <v>grams</v>
      </c>
      <c r="E33" s="27">
        <f t="shared" si="3"/>
        <v>100</v>
      </c>
      <c r="F33" s="28">
        <f t="shared" si="4"/>
        <v>400</v>
      </c>
      <c r="G33" s="28">
        <f t="shared" si="5"/>
        <v>600</v>
      </c>
      <c r="H33" s="28">
        <f t="shared" si="6"/>
        <v>800</v>
      </c>
      <c r="I33" s="3"/>
    </row>
    <row r="34">
      <c r="A34" s="3"/>
      <c r="B34" s="3"/>
      <c r="C34" s="4" t="str">
        <f t="shared" si="1"/>
        <v>SPANISH VIDUENA OLIVE OIL</v>
      </c>
      <c r="D34" s="26" t="str">
        <f t="shared" si="2"/>
        <v>grams</v>
      </c>
      <c r="E34" s="27">
        <f t="shared" si="3"/>
        <v>400</v>
      </c>
      <c r="F34" s="28">
        <f t="shared" si="4"/>
        <v>1600</v>
      </c>
      <c r="G34" s="28">
        <f t="shared" si="5"/>
        <v>2400</v>
      </c>
      <c r="H34" s="28">
        <f t="shared" si="6"/>
        <v>3200</v>
      </c>
      <c r="I34" s="3"/>
    </row>
    <row r="35">
      <c r="A35" s="3"/>
      <c r="B35" s="3"/>
      <c r="C35" s="4" t="str">
        <f t="shared" si="1"/>
        <v>SEA SALT</v>
      </c>
      <c r="D35" s="26" t="str">
        <f t="shared" si="2"/>
        <v>teaspoon</v>
      </c>
      <c r="E35" s="27">
        <f t="shared" si="3"/>
        <v>1</v>
      </c>
      <c r="F35" s="28">
        <f t="shared" si="4"/>
        <v>4</v>
      </c>
      <c r="G35" s="28">
        <f t="shared" si="5"/>
        <v>6</v>
      </c>
      <c r="H35" s="28">
        <f t="shared" si="6"/>
        <v>8</v>
      </c>
      <c r="I35" s="3"/>
    </row>
    <row r="36">
      <c r="A36" s="3"/>
      <c r="B36" s="3"/>
      <c r="C36" s="4" t="str">
        <f t="shared" si="1"/>
        <v>SHERRY VINEGAR</v>
      </c>
      <c r="D36" s="26" t="str">
        <f t="shared" si="2"/>
        <v>teaspoon</v>
      </c>
      <c r="E36" s="29">
        <f t="shared" si="3"/>
        <v>1</v>
      </c>
      <c r="F36" s="30">
        <f t="shared" si="4"/>
        <v>4</v>
      </c>
      <c r="G36" s="30">
        <f t="shared" si="5"/>
        <v>6</v>
      </c>
      <c r="H36" s="30">
        <f t="shared" si="6"/>
        <v>8</v>
      </c>
      <c r="I36" s="3"/>
    </row>
    <row r="37">
      <c r="A37" s="3"/>
      <c r="B37" s="3"/>
      <c r="C37" s="3"/>
      <c r="D37" s="3"/>
      <c r="E37" s="3"/>
      <c r="F37" s="3"/>
      <c r="G37" s="3"/>
      <c r="H37" s="3"/>
      <c r="I37" s="3"/>
    </row>
    <row r="38">
      <c r="A38" s="3"/>
      <c r="B38" s="3"/>
      <c r="C38" s="3"/>
      <c r="D38" s="3"/>
      <c r="E38" s="3"/>
      <c r="F38" s="3"/>
      <c r="G38" s="3"/>
      <c r="H38" s="3"/>
      <c r="I38" s="3"/>
    </row>
    <row r="39">
      <c r="A39" s="3"/>
      <c r="B39" s="3"/>
      <c r="C39" s="3"/>
      <c r="D39" s="3"/>
      <c r="E39" s="3"/>
      <c r="F39" s="3"/>
      <c r="G39" s="3"/>
      <c r="H39" s="3"/>
      <c r="I39" s="3"/>
    </row>
    <row r="40">
      <c r="A40" s="3"/>
      <c r="B40" s="3"/>
      <c r="C40" s="3"/>
      <c r="D40" s="3"/>
      <c r="E40" s="3"/>
      <c r="F40" s="3"/>
      <c r="G40" s="3"/>
      <c r="H40" s="3"/>
      <c r="I40" s="3"/>
    </row>
    <row r="41">
      <c r="A41" s="3"/>
      <c r="B41" s="3"/>
      <c r="C41" s="3"/>
      <c r="D41" s="3"/>
      <c r="E41" s="3"/>
      <c r="F41" s="3"/>
      <c r="G41" s="3"/>
      <c r="H41" s="3"/>
      <c r="I41" s="3"/>
    </row>
    <row r="42">
      <c r="A42" s="3"/>
      <c r="B42" s="3"/>
      <c r="C42" s="3"/>
      <c r="D42" s="3"/>
      <c r="E42" s="3"/>
      <c r="F42" s="3"/>
      <c r="G42" s="3"/>
      <c r="H42" s="3"/>
    </row>
    <row r="45">
      <c r="I45" s="31" t="str">
        <f>B1</f>
        <v>SUNFLOWER SEED ROMESCO </v>
      </c>
    </row>
  </sheetData>
  <mergeCells count="1">
    <mergeCell ref="C18:J18"/>
  </mergeCells>
  <printOptions horizontalCentered="1"/>
  <pageMargins bottom="0.0" footer="0.0" header="0.0" left="0.0" right="0.0" top="0.1"/>
  <pageSetup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B1" s="1" t="s">
        <v>30</v>
      </c>
      <c r="C1" s="2"/>
      <c r="D1" s="2"/>
      <c r="E1" s="3"/>
      <c r="F1" s="3"/>
      <c r="G1" s="3"/>
      <c r="H1" s="4" t="s">
        <v>1</v>
      </c>
      <c r="I1" s="5">
        <v>43123.0</v>
      </c>
    </row>
    <row r="2">
      <c r="A2" s="6"/>
      <c r="B2" s="6" t="s">
        <v>2</v>
      </c>
      <c r="C2" s="6">
        <v>1.0</v>
      </c>
      <c r="D2" s="6" t="s">
        <v>3</v>
      </c>
      <c r="E2" s="3"/>
      <c r="F2" s="3"/>
      <c r="G2" s="3"/>
      <c r="H2" s="3"/>
      <c r="I2" s="3"/>
    </row>
    <row r="3">
      <c r="A3" s="3"/>
      <c r="B3" s="3"/>
      <c r="C3" s="3"/>
      <c r="D3" s="3"/>
      <c r="E3" s="3"/>
      <c r="F3" s="3"/>
      <c r="G3" s="3"/>
      <c r="H3" s="3"/>
      <c r="I3" s="3"/>
    </row>
    <row r="4">
      <c r="A4" s="3"/>
      <c r="B4" s="3"/>
      <c r="C4" s="3"/>
      <c r="D4" s="3"/>
      <c r="E4" s="3"/>
      <c r="F4" s="3"/>
      <c r="G4" s="3"/>
      <c r="H4" s="3"/>
      <c r="I4" s="3"/>
    </row>
    <row r="5">
      <c r="A5" s="7"/>
      <c r="B5" s="7" t="s">
        <v>4</v>
      </c>
      <c r="C5" s="6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8"/>
      <c r="B7" s="12">
        <v>80.0</v>
      </c>
      <c r="C7" s="10" t="s">
        <v>5</v>
      </c>
      <c r="D7" s="11" t="s">
        <v>6</v>
      </c>
      <c r="E7" s="6"/>
      <c r="F7" s="6"/>
      <c r="G7" s="6" t="s">
        <v>7</v>
      </c>
      <c r="H7" s="3"/>
      <c r="I7" s="3"/>
    </row>
    <row r="8">
      <c r="A8" s="8"/>
      <c r="B8" s="12">
        <v>20.0</v>
      </c>
      <c r="C8" s="10" t="s">
        <v>5</v>
      </c>
      <c r="D8" s="13" t="s">
        <v>8</v>
      </c>
      <c r="E8" s="6"/>
      <c r="F8" s="6"/>
      <c r="G8" s="3"/>
      <c r="H8" s="3"/>
      <c r="I8" s="3"/>
    </row>
    <row r="9">
      <c r="A9" s="8"/>
      <c r="B9" s="9">
        <v>100.0</v>
      </c>
      <c r="C9" s="10" t="s">
        <v>5</v>
      </c>
      <c r="D9" s="14" t="s">
        <v>9</v>
      </c>
      <c r="E9" s="6"/>
      <c r="F9" s="6"/>
      <c r="G9" s="3"/>
      <c r="H9" s="3"/>
      <c r="I9" s="3"/>
    </row>
    <row r="10">
      <c r="A10" s="8"/>
      <c r="B10" s="9">
        <v>100.0</v>
      </c>
      <c r="C10" s="10" t="s">
        <v>5</v>
      </c>
      <c r="D10" s="14" t="s">
        <v>10</v>
      </c>
      <c r="E10" s="6"/>
      <c r="F10" s="6"/>
      <c r="G10" s="3"/>
      <c r="H10" s="3"/>
      <c r="I10" s="3"/>
    </row>
    <row r="11">
      <c r="A11" s="8"/>
      <c r="B11" s="12">
        <v>400.0</v>
      </c>
      <c r="C11" s="10" t="s">
        <v>5</v>
      </c>
      <c r="D11" s="14" t="s">
        <v>11</v>
      </c>
      <c r="E11" s="6"/>
      <c r="F11" s="3"/>
      <c r="G11" s="3"/>
      <c r="H11" s="3"/>
      <c r="I11" s="3"/>
    </row>
    <row r="12">
      <c r="A12" s="4"/>
      <c r="B12" s="4">
        <v>1.0</v>
      </c>
      <c r="C12" s="10" t="s">
        <v>13</v>
      </c>
      <c r="D12" s="6" t="s">
        <v>14</v>
      </c>
      <c r="E12" s="6"/>
      <c r="F12" s="3"/>
      <c r="G12" s="3"/>
      <c r="H12" s="3"/>
      <c r="I12" s="3"/>
    </row>
    <row r="13">
      <c r="A13" s="4"/>
      <c r="B13" s="4">
        <v>1.0</v>
      </c>
      <c r="C13" s="10" t="s">
        <v>13</v>
      </c>
      <c r="D13" s="6" t="s">
        <v>17</v>
      </c>
      <c r="E13" s="3"/>
      <c r="F13" s="3"/>
      <c r="G13" s="3"/>
      <c r="H13" s="3"/>
      <c r="I13" s="3"/>
    </row>
    <row r="14">
      <c r="A14" s="3"/>
      <c r="B14" s="3"/>
      <c r="C14" s="3"/>
      <c r="D14" s="3"/>
      <c r="E14" s="3"/>
      <c r="F14" s="3"/>
      <c r="G14" s="3"/>
      <c r="H14" s="3"/>
      <c r="I14" s="3"/>
    </row>
    <row r="15">
      <c r="A15" s="7"/>
      <c r="B15" s="7" t="s">
        <v>18</v>
      </c>
      <c r="C15" s="3"/>
      <c r="D15" s="3"/>
      <c r="E15" s="3"/>
      <c r="F15" s="3"/>
      <c r="G15" s="3"/>
      <c r="H15" s="3"/>
      <c r="I15" s="3"/>
    </row>
    <row r="16">
      <c r="A16" s="16"/>
      <c r="B16" s="16">
        <v>1.0</v>
      </c>
      <c r="C16" s="13" t="s">
        <v>33</v>
      </c>
      <c r="D16" s="6"/>
      <c r="E16" s="6"/>
      <c r="F16" s="3"/>
      <c r="G16" s="3"/>
      <c r="H16" s="3"/>
      <c r="I16" s="3"/>
    </row>
    <row r="17">
      <c r="A17" s="7"/>
      <c r="B17" s="7">
        <v>2.0</v>
      </c>
      <c r="C17" s="13" t="s">
        <v>34</v>
      </c>
      <c r="D17" s="6"/>
      <c r="E17" s="3"/>
      <c r="F17" s="3"/>
      <c r="G17" s="3"/>
      <c r="H17" s="3"/>
      <c r="I17" s="3"/>
    </row>
    <row r="18">
      <c r="A18" s="16"/>
      <c r="B18" s="16">
        <v>3.0</v>
      </c>
      <c r="C18" s="17" t="s">
        <v>35</v>
      </c>
    </row>
    <row r="19">
      <c r="A19" s="16"/>
      <c r="B19" s="16">
        <v>4.0</v>
      </c>
      <c r="C19" s="13" t="s">
        <v>36</v>
      </c>
      <c r="H19" s="3"/>
      <c r="I19" s="3"/>
    </row>
    <row r="20">
      <c r="A20" s="7"/>
      <c r="B20" s="7">
        <v>5.0</v>
      </c>
      <c r="C20" s="13" t="s">
        <v>37</v>
      </c>
      <c r="H20" s="3"/>
      <c r="I20" s="3"/>
    </row>
    <row r="21">
      <c r="A21" s="3"/>
      <c r="B21" s="3"/>
      <c r="C21" s="3"/>
      <c r="D21" s="3"/>
      <c r="E21" s="3"/>
      <c r="F21" s="3"/>
      <c r="G21" s="3"/>
      <c r="H21" s="3"/>
      <c r="I21" s="3"/>
    </row>
    <row r="22">
      <c r="A22" s="3"/>
      <c r="B22" s="18"/>
      <c r="C22" s="18"/>
      <c r="D22" s="18"/>
      <c r="E22" s="18"/>
      <c r="F22" s="18"/>
      <c r="G22" s="18"/>
      <c r="H22" s="18"/>
      <c r="I22" s="18"/>
    </row>
    <row r="23">
      <c r="A23" s="3"/>
      <c r="B23" s="3"/>
      <c r="C23" s="3"/>
      <c r="D23" s="3"/>
      <c r="E23" s="3"/>
      <c r="F23" s="3"/>
      <c r="G23" s="3"/>
      <c r="H23" s="3"/>
      <c r="I23" s="3"/>
    </row>
    <row r="24">
      <c r="A24" s="3"/>
      <c r="B24" s="3"/>
      <c r="C24" s="3"/>
      <c r="D24" s="3"/>
      <c r="E24" s="3"/>
      <c r="F24" s="3"/>
      <c r="G24" s="3"/>
      <c r="H24" s="3"/>
      <c r="I24" s="3"/>
    </row>
    <row r="25">
      <c r="A25" s="3"/>
      <c r="B25" s="3"/>
      <c r="C25" s="3"/>
      <c r="D25" s="3"/>
      <c r="E25" s="3"/>
      <c r="F25" s="3"/>
      <c r="G25" s="3"/>
      <c r="H25" s="3"/>
      <c r="I25" s="3"/>
    </row>
    <row r="26">
      <c r="A26" s="3"/>
      <c r="B26" s="3"/>
      <c r="C26" s="3"/>
      <c r="E26" s="19" t="s">
        <v>24</v>
      </c>
      <c r="F26" s="19" t="s">
        <v>25</v>
      </c>
      <c r="G26" s="19" t="s">
        <v>26</v>
      </c>
      <c r="H26" s="19" t="s">
        <v>27</v>
      </c>
      <c r="I26" s="3"/>
    </row>
    <row r="27">
      <c r="A27" s="3"/>
      <c r="B27" s="3"/>
      <c r="C27" s="3"/>
      <c r="D27" s="3"/>
      <c r="E27" s="20">
        <v>1.0</v>
      </c>
      <c r="F27" s="21">
        <v>4.0</v>
      </c>
      <c r="G27" s="21">
        <v>6.0</v>
      </c>
      <c r="H27" s="21">
        <v>8.0</v>
      </c>
      <c r="I27" s="3"/>
    </row>
    <row r="28">
      <c r="A28" s="3"/>
      <c r="B28" s="3"/>
      <c r="C28" s="3"/>
      <c r="D28" s="3"/>
      <c r="E28" s="22" t="s">
        <v>28</v>
      </c>
      <c r="F28" s="23" t="s">
        <v>29</v>
      </c>
      <c r="G28" s="23" t="s">
        <v>29</v>
      </c>
      <c r="H28" s="23" t="s">
        <v>29</v>
      </c>
      <c r="I28" s="3"/>
    </row>
    <row r="29">
      <c r="A29" s="3"/>
      <c r="B29" s="3"/>
      <c r="C29" s="3"/>
      <c r="D29" s="3"/>
      <c r="E29" s="24"/>
      <c r="F29" s="25"/>
      <c r="G29" s="25"/>
      <c r="H29" s="25"/>
      <c r="I29" s="3"/>
    </row>
    <row r="30">
      <c r="A30" s="3"/>
      <c r="B30" s="3"/>
      <c r="C30" s="4" t="str">
        <f t="shared" ref="C30:C36" si="1">D7</f>
        <v>SUNFLOWER SEEDS, TOASTED GOLDEN</v>
      </c>
      <c r="D30" s="26" t="str">
        <f t="shared" ref="D30:D36" si="2">C7</f>
        <v>grams</v>
      </c>
      <c r="E30" s="27">
        <f t="shared" ref="E30:E36" si="3">B7/$C$2</f>
        <v>80</v>
      </c>
      <c r="F30" s="28">
        <f t="shared" ref="F30:F36" si="4">E30*$F$27</f>
        <v>320</v>
      </c>
      <c r="G30" s="28">
        <f t="shared" ref="G30:G36" si="5">E30*$G$27</f>
        <v>480</v>
      </c>
      <c r="H30" s="28">
        <f t="shared" ref="H30:H36" si="6">E30*$H$27</f>
        <v>640</v>
      </c>
      <c r="I30" s="3"/>
    </row>
    <row r="31">
      <c r="A31" s="3"/>
      <c r="B31" s="3"/>
      <c r="C31" s="4" t="str">
        <f t="shared" si="1"/>
        <v>GARLIC, CONFIT IN OLIVE OIL</v>
      </c>
      <c r="D31" s="26" t="str">
        <f t="shared" si="2"/>
        <v>grams</v>
      </c>
      <c r="E31" s="27">
        <f t="shared" si="3"/>
        <v>20</v>
      </c>
      <c r="F31" s="28">
        <f t="shared" si="4"/>
        <v>80</v>
      </c>
      <c r="G31" s="28">
        <f t="shared" si="5"/>
        <v>120</v>
      </c>
      <c r="H31" s="28">
        <f t="shared" si="6"/>
        <v>160</v>
      </c>
      <c r="I31" s="3"/>
    </row>
    <row r="32">
      <c r="A32" s="3"/>
      <c r="B32" s="3"/>
      <c r="C32" s="4" t="str">
        <f t="shared" si="1"/>
        <v>PIQUILLO PEPPER</v>
      </c>
      <c r="D32" s="26" t="str">
        <f t="shared" si="2"/>
        <v>grams</v>
      </c>
      <c r="E32" s="27">
        <f t="shared" si="3"/>
        <v>100</v>
      </c>
      <c r="F32" s="28">
        <f t="shared" si="4"/>
        <v>400</v>
      </c>
      <c r="G32" s="28">
        <f t="shared" si="5"/>
        <v>600</v>
      </c>
      <c r="H32" s="28">
        <f t="shared" si="6"/>
        <v>800</v>
      </c>
      <c r="I32" s="3"/>
    </row>
    <row r="33">
      <c r="A33" s="3"/>
      <c r="B33" s="3"/>
      <c r="C33" s="4" t="str">
        <f t="shared" si="1"/>
        <v>ROASTED TOMATO</v>
      </c>
      <c r="D33" s="26" t="str">
        <f t="shared" si="2"/>
        <v>grams</v>
      </c>
      <c r="E33" s="27">
        <f t="shared" si="3"/>
        <v>100</v>
      </c>
      <c r="F33" s="28">
        <f t="shared" si="4"/>
        <v>400</v>
      </c>
      <c r="G33" s="28">
        <f t="shared" si="5"/>
        <v>600</v>
      </c>
      <c r="H33" s="28">
        <f t="shared" si="6"/>
        <v>800</v>
      </c>
      <c r="I33" s="3"/>
    </row>
    <row r="34">
      <c r="A34" s="3"/>
      <c r="B34" s="3"/>
      <c r="C34" s="4" t="str">
        <f t="shared" si="1"/>
        <v>SPANISH VIDUENA OLIVE OIL</v>
      </c>
      <c r="D34" s="26" t="str">
        <f t="shared" si="2"/>
        <v>grams</v>
      </c>
      <c r="E34" s="27">
        <f t="shared" si="3"/>
        <v>400</v>
      </c>
      <c r="F34" s="28">
        <f t="shared" si="4"/>
        <v>1600</v>
      </c>
      <c r="G34" s="28">
        <f t="shared" si="5"/>
        <v>2400</v>
      </c>
      <c r="H34" s="28">
        <f t="shared" si="6"/>
        <v>3200</v>
      </c>
      <c r="I34" s="3"/>
    </row>
    <row r="35">
      <c r="A35" s="3"/>
      <c r="B35" s="3"/>
      <c r="C35" s="4" t="str">
        <f t="shared" si="1"/>
        <v>SEA SALT</v>
      </c>
      <c r="D35" s="26" t="str">
        <f t="shared" si="2"/>
        <v>teaspoon</v>
      </c>
      <c r="E35" s="27">
        <f t="shared" si="3"/>
        <v>1</v>
      </c>
      <c r="F35" s="28">
        <f t="shared" si="4"/>
        <v>4</v>
      </c>
      <c r="G35" s="28">
        <f t="shared" si="5"/>
        <v>6</v>
      </c>
      <c r="H35" s="28">
        <f t="shared" si="6"/>
        <v>8</v>
      </c>
      <c r="I35" s="3"/>
    </row>
    <row r="36">
      <c r="A36" s="3"/>
      <c r="B36" s="3"/>
      <c r="C36" s="4" t="str">
        <f t="shared" si="1"/>
        <v>SHERRY VINEGAR</v>
      </c>
      <c r="D36" s="26" t="str">
        <f t="shared" si="2"/>
        <v>teaspoon</v>
      </c>
      <c r="E36" s="29">
        <f t="shared" si="3"/>
        <v>1</v>
      </c>
      <c r="F36" s="30">
        <f t="shared" si="4"/>
        <v>4</v>
      </c>
      <c r="G36" s="30">
        <f t="shared" si="5"/>
        <v>6</v>
      </c>
      <c r="H36" s="30">
        <f t="shared" si="6"/>
        <v>8</v>
      </c>
      <c r="I36" s="3"/>
    </row>
    <row r="37">
      <c r="A37" s="3"/>
      <c r="B37" s="3"/>
      <c r="C37" s="3"/>
      <c r="D37" s="3"/>
      <c r="E37" s="3"/>
      <c r="F37" s="3"/>
      <c r="G37" s="3"/>
      <c r="H37" s="3"/>
      <c r="I37" s="3"/>
    </row>
    <row r="38">
      <c r="A38" s="3"/>
      <c r="B38" s="3"/>
      <c r="C38" s="3"/>
      <c r="D38" s="3"/>
      <c r="E38" s="3"/>
      <c r="F38" s="3"/>
      <c r="G38" s="3"/>
      <c r="H38" s="3"/>
      <c r="I38" s="3"/>
    </row>
    <row r="39">
      <c r="A39" s="3"/>
      <c r="B39" s="3"/>
      <c r="C39" s="3"/>
      <c r="D39" s="3"/>
      <c r="E39" s="3"/>
      <c r="F39" s="3"/>
      <c r="G39" s="3"/>
      <c r="H39" s="3"/>
      <c r="I39" s="3"/>
    </row>
    <row r="40">
      <c r="A40" s="3"/>
      <c r="B40" s="3"/>
      <c r="C40" s="3"/>
      <c r="D40" s="3"/>
      <c r="E40" s="3"/>
      <c r="F40" s="3"/>
      <c r="G40" s="3"/>
      <c r="H40" s="3"/>
      <c r="I40" s="3"/>
    </row>
    <row r="41">
      <c r="A41" s="3"/>
      <c r="B41" s="3"/>
      <c r="C41" s="3"/>
      <c r="D41" s="3"/>
      <c r="E41" s="3"/>
      <c r="F41" s="3"/>
      <c r="G41" s="3"/>
      <c r="H41" s="3"/>
      <c r="I41" s="3"/>
    </row>
    <row r="42">
      <c r="A42" s="3"/>
      <c r="B42" s="3"/>
      <c r="C42" s="3"/>
      <c r="D42" s="3"/>
      <c r="E42" s="3"/>
      <c r="F42" s="3"/>
      <c r="G42" s="3"/>
      <c r="H42" s="3"/>
    </row>
    <row r="45">
      <c r="I45" s="31" t="str">
        <f>B1</f>
        <v>SUNFLOWER SEED ROMESCO </v>
      </c>
    </row>
  </sheetData>
  <mergeCells count="1">
    <mergeCell ref="C18:J18"/>
  </mergeCells>
  <printOptions horizontalCentered="1"/>
  <pageMargins bottom="0.0" footer="0.0" header="0.0" left="0.0" right="0.0" top="0.1"/>
  <pageSetup cellComments="atEnd" orientation="portrait" pageOrder="overThenDown"/>
  <drawing r:id="rId1"/>
</worksheet>
</file>